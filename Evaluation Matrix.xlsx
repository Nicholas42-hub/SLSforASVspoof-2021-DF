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zlo/Desktop/Project/PhD/Baselines/SLSforASVspoof-2021-DF/"/>
    </mc:Choice>
  </mc:AlternateContent>
  <xr:revisionPtr revIDLastSave="0" documentId="13_ncr:9_{09380D1F-242F-9F47-B48D-6E0A1167C906}" xr6:coauthVersionLast="47" xr6:coauthVersionMax="47" xr10:uidLastSave="{00000000-0000-0000-0000-000000000000}"/>
  <bookViews>
    <workbookView xWindow="5060" yWindow="1460" windowWidth="27640" windowHeight="16940" xr2:uid="{B5BD6B09-79A3-BA49-A6D2-CB529CF54430}"/>
  </bookViews>
  <sheets>
    <sheet name="Evaluation matrix" sheetId="3" r:id="rId1"/>
    <sheet name="Traning log" sheetId="1" r:id="rId2"/>
  </sheets>
  <calcPr calcId="0"/>
</workbook>
</file>

<file path=xl/calcChain.xml><?xml version="1.0" encoding="utf-8"?>
<calcChain xmlns="http://schemas.openxmlformats.org/spreadsheetml/2006/main">
  <c r="H20" i="3" l="1"/>
  <c r="H19" i="3"/>
  <c r="H18" i="3"/>
  <c r="H16" i="3"/>
</calcChain>
</file>

<file path=xl/sharedStrings.xml><?xml version="1.0" encoding="utf-8"?>
<sst xmlns="http://schemas.openxmlformats.org/spreadsheetml/2006/main" count="37" uniqueCount="30">
  <si>
    <t>epoch</t>
  </si>
  <si>
    <t>train_loss</t>
  </si>
  <si>
    <t>train_cce</t>
  </si>
  <si>
    <t>train_contrastive</t>
  </si>
  <si>
    <t>val_loss</t>
  </si>
  <si>
    <t>val_cce</t>
  </si>
  <si>
    <t>val_contrastive</t>
  </si>
  <si>
    <t>Ablation</t>
  </si>
  <si>
    <t>ASV Spoof 2021 DF</t>
  </si>
  <si>
    <t>ASV Spoof 2021 LA</t>
  </si>
  <si>
    <t>In the wild</t>
  </si>
  <si>
    <t>EER↓</t>
  </si>
  <si>
    <t>Benchmark (SLS)</t>
  </si>
  <si>
    <t>Hierarchical attentions</t>
  </si>
  <si>
    <t xml:space="preserve">Hierarchical attentions + Temperature-scaled InfoNCE Contrastive Loss </t>
  </si>
  <si>
    <t xml:space="preserve">Hierarchical attentions +Local patch Contrastive Loss </t>
  </si>
  <si>
    <t>Hierarchical attentions + Margin-baseloss Contrastive Loss</t>
  </si>
  <si>
    <t>Model</t>
  </si>
  <si>
    <t>Group size</t>
  </si>
  <si>
    <t>Trial 2</t>
  </si>
  <si>
    <t>Trial 3</t>
  </si>
  <si>
    <t>Trial 4</t>
  </si>
  <si>
    <t>Trial 5</t>
  </si>
  <si>
    <t>AVG</t>
  </si>
  <si>
    <t>Baseline (SLS)</t>
  </si>
  <si>
    <t>/</t>
  </si>
  <si>
    <t>Proposed model (Hierarchical attention)</t>
  </si>
  <si>
    <t>Trial1</t>
  </si>
  <si>
    <t>Table 1  Ablation study isolating contributions of hierarchical attention and contrastive learning.</t>
  </si>
  <si>
    <t>Table 2 Hierarchical Attention Group Size Ablation Study on ASVspoof2021LA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</si>
</sst>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.95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/>
    <xf numFmtId="0" fontId="19" fillId="0" borderId="0" xfId="0" applyFont="1" applyAlignment="1">
      <alignment horizontal="justify" vertical="center" wrapText="1"/>
    </xf>
    <xf numFmtId="0" fontId="19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43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'Traning log'!$B$1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'Traning log'!$A$2:$A$32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'Traning log'!$B$2:$B$32</c:f>
              <c:numCache>
                <c:formatCode>General</c:formatCode>
                <c:ptCount val="31"/>
                <c:pt idx="0">
                  <c:v>0.15875767725405299</c:v>
                </c:pt>
                <c:pt idx="1">
                  <c:v>6.0129985826919098E-3</c:v>
                </c:pt>
                <c:pt idx="2">
                  <c:v>3.9659885989169101E-3</c:v>
                </c:pt>
                <c:pt idx="3">
                  <c:v>1.4902919471761599E-3</c:v>
                </c:pt>
                <c:pt idx="4">
                  <c:v>1.6012178731706101E-3</c:v>
                </c:pt>
                <c:pt idx="5">
                  <c:v>4.9004208446350498E-4</c:v>
                </c:pt>
                <c:pt idx="6">
                  <c:v>1.81864984772458E-4</c:v>
                </c:pt>
                <c:pt idx="7">
                  <c:v>1.1759922842416999E-3</c:v>
                </c:pt>
                <c:pt idx="8">
                  <c:v>4.1651944520983798E-4</c:v>
                </c:pt>
                <c:pt idx="9">
                  <c:v>3.8599943693793298E-4</c:v>
                </c:pt>
                <c:pt idx="10" formatCode="0.00E+00">
                  <c:v>9.4671142834992398E-5</c:v>
                </c:pt>
                <c:pt idx="11">
                  <c:v>1.22560561484204E-3</c:v>
                </c:pt>
                <c:pt idx="12">
                  <c:v>1.6958725076525801E-3</c:v>
                </c:pt>
                <c:pt idx="13" formatCode="0.00E+00">
                  <c:v>8.1343788144047296E-5</c:v>
                </c:pt>
                <c:pt idx="14" formatCode="0.00E+00">
                  <c:v>5.09702587340161E-5</c:v>
                </c:pt>
                <c:pt idx="15" formatCode="0.00E+00">
                  <c:v>4.9697477481383203E-5</c:v>
                </c:pt>
                <c:pt idx="16" formatCode="0.00E+00">
                  <c:v>3.8193576151106098E-5</c:v>
                </c:pt>
                <c:pt idx="17" formatCode="0.00E+00">
                  <c:v>2.55207840601412E-5</c:v>
                </c:pt>
                <c:pt idx="18">
                  <c:v>3.9742178299897101E-3</c:v>
                </c:pt>
                <c:pt idx="19" formatCode="0.00E+00">
                  <c:v>7.6332229989627197E-5</c:v>
                </c:pt>
                <c:pt idx="20" formatCode="0.00E+00">
                  <c:v>4.6927295798277501E-5</c:v>
                </c:pt>
                <c:pt idx="21">
                  <c:v>4.4668215077803396E-3</c:v>
                </c:pt>
                <c:pt idx="22">
                  <c:v>1.07053978749769E-4</c:v>
                </c:pt>
                <c:pt idx="23">
                  <c:v>1.17535722191175E-4</c:v>
                </c:pt>
                <c:pt idx="24">
                  <c:v>6.3607341810355603E-4</c:v>
                </c:pt>
                <c:pt idx="25">
                  <c:v>1.0908297502914799E-4</c:v>
                </c:pt>
                <c:pt idx="26" formatCode="0.00E+00">
                  <c:v>2.9865022469589001E-5</c:v>
                </c:pt>
                <c:pt idx="27">
                  <c:v>1.22861935999994E-3</c:v>
                </c:pt>
                <c:pt idx="28">
                  <c:v>1.2094989836259101E-4</c:v>
                </c:pt>
                <c:pt idx="29">
                  <c:v>1.85621283882758E-4</c:v>
                </c:pt>
                <c:pt idx="30" formatCode="0.00E+00">
                  <c:v>2.4846568272874299E-5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9F-7A48-BA5F-45187C98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178959"/>
        <c:axId val="1743184959"/>
      </c:scatterChart>
      <c:valAx>
        <c:axId val="174317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84959"/>
        <c:crosses val="autoZero"/>
        <c:crossBetween val="midCat"/>
      </c:valAx>
      <c:valAx>
        <c:axId val="17431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7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781050</xdr:colOff>
      <xdr:row>6</xdr:row>
      <xdr:rowOff>127000</xdr:rowOff>
    </xdr:from>
    <xdr:to>
      <xdr:col>13</xdr:col>
      <xdr:colOff>101600</xdr:colOff>
      <xdr:row>20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7FA910-7E65-7552-E1D2-045AF29AA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C45E-B533-CF47-957E-A23165A76D49}">
  <dimension ref="A1:H22"/>
  <sheetViews>
    <sheetView showGridLines="0" tabSelected="1" workbookViewId="0">
      <selection activeCell="H22" sqref="A1:H22"/>
    </sheetView>
  </sheetViews>
  <sheetFormatPr baseColWidth="10" defaultRowHeight="16" x14ac:dyDescent="0.2"/>
  <cols>
    <col min="1" max="1" width="71" bestFit="1" customWidth="1"/>
    <col min="2" max="2" width="32.83203125" customWidth="1"/>
    <col min="3" max="3" width="21.6640625" bestFit="1" customWidth="1"/>
    <col min="4" max="4" width="11.5" bestFit="1" customWidth="1"/>
  </cols>
  <sheetData>
    <row r="1" spans="1:8" x14ac:dyDescent="0.2">
      <c r="A1" s="15" t="s">
        <v>28</v>
      </c>
      <c r="B1" s="15"/>
      <c r="C1" s="15"/>
      <c r="D1" s="15"/>
    </row>
    <row r="2" spans="1:8" ht="18" x14ac:dyDescent="0.2">
      <c r="A2" s="2" t="s">
        <v>7</v>
      </c>
      <c r="B2" s="3" t="s">
        <v>8</v>
      </c>
      <c r="C2" s="3" t="s">
        <v>9</v>
      </c>
      <c r="D2" s="3" t="s">
        <v>10</v>
      </c>
    </row>
    <row r="3" spans="1:8" ht="18" x14ac:dyDescent="0.2">
      <c r="A3" s="4"/>
      <c r="B3" s="5" t="s">
        <v>11</v>
      </c>
      <c r="C3" s="5" t="s">
        <v>11</v>
      </c>
      <c r="D3" s="5" t="s">
        <v>11</v>
      </c>
    </row>
    <row r="4" spans="1:8" ht="19" x14ac:dyDescent="0.2">
      <c r="A4" s="6" t="s">
        <v>12</v>
      </c>
      <c r="B4" s="7">
        <v>2.09</v>
      </c>
      <c r="C4" s="7">
        <v>3.88</v>
      </c>
      <c r="D4" s="7">
        <v>8.8699999999999992</v>
      </c>
    </row>
    <row r="5" spans="1:8" ht="19" x14ac:dyDescent="0.2">
      <c r="A5" s="6" t="s">
        <v>13</v>
      </c>
      <c r="B5" s="7">
        <v>2.13</v>
      </c>
      <c r="C5" s="7">
        <v>2.97</v>
      </c>
      <c r="D5" s="7">
        <v>8.81</v>
      </c>
    </row>
    <row r="6" spans="1:8" ht="19" x14ac:dyDescent="0.2">
      <c r="A6" s="6" t="s">
        <v>14</v>
      </c>
      <c r="B6" s="7">
        <v>3.25</v>
      </c>
      <c r="C6" s="7">
        <v>2.73</v>
      </c>
      <c r="D6" s="7">
        <v>12.63</v>
      </c>
    </row>
    <row r="7" spans="1:8" ht="19" x14ac:dyDescent="0.2">
      <c r="A7" s="6" t="s">
        <v>15</v>
      </c>
      <c r="B7" s="7">
        <v>3.82</v>
      </c>
      <c r="C7" s="7">
        <v>4.29</v>
      </c>
      <c r="D7" s="7">
        <v>15.23</v>
      </c>
    </row>
    <row r="8" spans="1:8" ht="20" x14ac:dyDescent="0.25">
      <c r="A8" s="8" t="s">
        <v>16</v>
      </c>
      <c r="B8" s="9">
        <v>1.93</v>
      </c>
      <c r="C8" s="9">
        <v>2.46</v>
      </c>
      <c r="D8" s="9">
        <v>6.87</v>
      </c>
    </row>
    <row r="14" spans="1:8" x14ac:dyDescent="0.2">
      <c r="A14" t="s">
        <v>29</v>
      </c>
    </row>
    <row r="15" spans="1:8" x14ac:dyDescent="0.2">
      <c r="A15" s="10" t="s">
        <v>17</v>
      </c>
      <c r="B15" s="10" t="s">
        <v>18</v>
      </c>
      <c r="C15" s="10" t="s">
        <v>27</v>
      </c>
      <c r="D15" s="10" t="s">
        <v>19</v>
      </c>
      <c r="E15" s="10" t="s">
        <v>20</v>
      </c>
      <c r="F15" s="10" t="s">
        <v>21</v>
      </c>
      <c r="G15" s="10" t="s">
        <v>22</v>
      </c>
      <c r="H15" s="10" t="s">
        <v>23</v>
      </c>
    </row>
    <row r="16" spans="1:8" x14ac:dyDescent="0.2">
      <c r="A16" s="11" t="s">
        <v>24</v>
      </c>
      <c r="B16" s="11" t="s">
        <v>25</v>
      </c>
      <c r="C16" s="12">
        <v>2.58</v>
      </c>
      <c r="D16" s="12">
        <v>2.71</v>
      </c>
      <c r="E16" s="12">
        <v>3.21</v>
      </c>
      <c r="F16" s="12">
        <v>5.9</v>
      </c>
      <c r="G16" s="12">
        <v>5.85</v>
      </c>
      <c r="H16" s="12">
        <f>AVERAGE(C16:G16)</f>
        <v>4.05</v>
      </c>
    </row>
    <row r="17" spans="1:8" x14ac:dyDescent="0.2">
      <c r="A17" s="11" t="s">
        <v>26</v>
      </c>
      <c r="B17" s="11">
        <v>1</v>
      </c>
      <c r="C17" s="12">
        <v>3.81</v>
      </c>
      <c r="D17" s="12"/>
      <c r="E17" s="12"/>
      <c r="F17" s="12"/>
      <c r="G17" s="12"/>
      <c r="H17" s="12"/>
    </row>
    <row r="18" spans="1:8" x14ac:dyDescent="0.2">
      <c r="A18" s="11" t="s">
        <v>26</v>
      </c>
      <c r="B18" s="11">
        <v>2</v>
      </c>
      <c r="C18" s="12">
        <v>3.58</v>
      </c>
      <c r="D18" s="12">
        <v>3.62</v>
      </c>
      <c r="E18" s="12">
        <v>7.3</v>
      </c>
      <c r="F18" s="12">
        <v>4.29</v>
      </c>
      <c r="G18" s="12"/>
      <c r="H18" s="12">
        <f>AVERAGE(C18:G18)</f>
        <v>4.6974999999999998</v>
      </c>
    </row>
    <row r="19" spans="1:8" x14ac:dyDescent="0.2">
      <c r="A19" s="11" t="s">
        <v>26</v>
      </c>
      <c r="B19" s="11">
        <v>3</v>
      </c>
      <c r="C19" s="12">
        <v>3.21</v>
      </c>
      <c r="D19" s="12">
        <v>3.2</v>
      </c>
      <c r="E19" s="12">
        <v>3.23</v>
      </c>
      <c r="F19" s="12">
        <v>2.5</v>
      </c>
      <c r="G19" s="12">
        <v>2.73</v>
      </c>
      <c r="H19" s="12">
        <f>AVERAGE(C19:G19)</f>
        <v>2.9740000000000002</v>
      </c>
    </row>
    <row r="20" spans="1:8" x14ac:dyDescent="0.2">
      <c r="A20" s="11" t="s">
        <v>26</v>
      </c>
      <c r="B20" s="11">
        <v>4</v>
      </c>
      <c r="C20" s="12">
        <v>3.645</v>
      </c>
      <c r="D20" s="12">
        <v>3.48</v>
      </c>
      <c r="E20" s="12">
        <v>4.21</v>
      </c>
      <c r="F20" s="12">
        <v>3.6</v>
      </c>
      <c r="G20" s="12"/>
      <c r="H20" s="12">
        <f>AVERAGE(C20:G20)</f>
        <v>3.7337500000000001</v>
      </c>
    </row>
    <row r="21" spans="1:8" x14ac:dyDescent="0.2">
      <c r="A21" s="11" t="s">
        <v>26</v>
      </c>
      <c r="B21" s="11">
        <v>6</v>
      </c>
      <c r="C21" s="12">
        <v>5.6899999999999995</v>
      </c>
      <c r="D21" s="12"/>
      <c r="E21" s="12"/>
      <c r="F21" s="12"/>
      <c r="G21" s="12"/>
      <c r="H21" s="12"/>
    </row>
    <row r="22" spans="1:8" x14ac:dyDescent="0.2">
      <c r="A22" s="13" t="s">
        <v>26</v>
      </c>
      <c r="B22" s="13">
        <v>8</v>
      </c>
      <c r="C22" s="14">
        <v>6.58</v>
      </c>
      <c r="D22" s="14"/>
      <c r="E22" s="14"/>
      <c r="F22" s="14"/>
      <c r="G22" s="14"/>
      <c r="H22" s="14"/>
    </row>
  </sheetData>
  <mergeCells count="2">
    <mergeCell ref="A2:A3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4F7F-DF17-7344-A39C-5219112C6F73}">
  <dimension ref="A1:G32"/>
  <sheetViews>
    <sheetView workbookViewId="0">
      <selection activeCell="D8" sqref="D8"/>
    </sheetView>
  </sheetViews>
  <sheetFormatPr baseColWidth="10" defaultRowHeight="16" x14ac:dyDescent="0.2"/>
  <cols>
    <col min="4" max="4" width="18" customWidth="1"/>
    <col min="5" max="5" width="14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0.15875767725405299</v>
      </c>
      <c r="C2">
        <v>0.157687437191809</v>
      </c>
      <c r="D2">
        <v>1.0702402422651199E-3</v>
      </c>
      <c r="E2">
        <v>1.1715138485501301E-2</v>
      </c>
      <c r="F2">
        <v>9.32723797140338E-3</v>
      </c>
      <c r="G2">
        <v>2.3879005413321298E-3</v>
      </c>
    </row>
    <row r="3" spans="1:7" x14ac:dyDescent="0.2">
      <c r="A3">
        <v>1</v>
      </c>
      <c r="B3">
        <v>6.0129985826919098E-3</v>
      </c>
      <c r="C3">
        <v>5.9708654669126298E-3</v>
      </c>
      <c r="D3" s="1">
        <v>4.2133100278700197E-5</v>
      </c>
      <c r="E3">
        <v>5.7471483447121803E-3</v>
      </c>
      <c r="F3">
        <v>3.3072103165039698E-3</v>
      </c>
      <c r="G3">
        <v>2.43993804721403E-3</v>
      </c>
    </row>
    <row r="4" spans="1:7" x14ac:dyDescent="0.2">
      <c r="A4">
        <v>2</v>
      </c>
      <c r="B4">
        <v>3.9659885989169101E-3</v>
      </c>
      <c r="C4">
        <v>3.9390420261065798E-3</v>
      </c>
      <c r="D4" s="1">
        <v>2.69465595616274E-5</v>
      </c>
      <c r="E4">
        <v>1.06518318441177E-2</v>
      </c>
      <c r="F4">
        <v>8.4293913294072997E-3</v>
      </c>
      <c r="G4">
        <v>2.2224405051091E-3</v>
      </c>
    </row>
    <row r="5" spans="1:7" x14ac:dyDescent="0.2">
      <c r="A5">
        <v>3</v>
      </c>
      <c r="B5">
        <v>1.4902919471761599E-3</v>
      </c>
      <c r="C5">
        <v>1.4808968713843601E-3</v>
      </c>
      <c r="D5" s="1">
        <v>9.3950795475928007E-6</v>
      </c>
      <c r="E5">
        <v>3.67623144853545E-3</v>
      </c>
      <c r="F5">
        <v>1.4241928829586399E-3</v>
      </c>
      <c r="G5">
        <v>2.2520385604610201E-3</v>
      </c>
    </row>
    <row r="6" spans="1:7" x14ac:dyDescent="0.2">
      <c r="A6">
        <v>4</v>
      </c>
      <c r="B6">
        <v>1.6012178731706101E-3</v>
      </c>
      <c r="C6">
        <v>1.5895377380323701E-3</v>
      </c>
      <c r="D6" s="1">
        <v>1.1680144310995499E-5</v>
      </c>
      <c r="E6">
        <v>5.6099301105344999E-3</v>
      </c>
      <c r="F6">
        <v>3.5977396941050798E-3</v>
      </c>
      <c r="G6">
        <v>2.0121904125659298E-3</v>
      </c>
    </row>
    <row r="7" spans="1:7" x14ac:dyDescent="0.2">
      <c r="A7">
        <v>5</v>
      </c>
      <c r="B7">
        <v>4.9004208446350498E-4</v>
      </c>
      <c r="C7">
        <v>4.8447391500338E-4</v>
      </c>
      <c r="D7" s="1">
        <v>5.5681708998175502E-6</v>
      </c>
      <c r="E7">
        <v>3.5900796430790899E-3</v>
      </c>
      <c r="F7">
        <v>1.3121404515636099E-3</v>
      </c>
      <c r="G7">
        <v>2.2779391782597898E-3</v>
      </c>
    </row>
    <row r="8" spans="1:7" x14ac:dyDescent="0.2">
      <c r="A8">
        <v>6</v>
      </c>
      <c r="B8">
        <v>1.81864984772458E-4</v>
      </c>
      <c r="C8">
        <v>1.81549719845781E-4</v>
      </c>
      <c r="D8" s="1">
        <v>3.1526481004498201E-7</v>
      </c>
      <c r="E8">
        <v>4.5840226641160799E-3</v>
      </c>
      <c r="F8">
        <v>2.2903076675845702E-3</v>
      </c>
      <c r="G8">
        <v>2.2937150636765501E-3</v>
      </c>
    </row>
    <row r="9" spans="1:7" x14ac:dyDescent="0.2">
      <c r="A9">
        <v>7</v>
      </c>
      <c r="B9">
        <v>1.1759922842416999E-3</v>
      </c>
      <c r="C9">
        <v>1.1636417830036901E-3</v>
      </c>
      <c r="D9" s="1">
        <v>1.2350505974514901E-5</v>
      </c>
      <c r="E9">
        <v>4.7599333018676802E-3</v>
      </c>
      <c r="F9">
        <v>2.4312729325529502E-3</v>
      </c>
      <c r="G9">
        <v>2.3286603169248498E-3</v>
      </c>
    </row>
    <row r="10" spans="1:7" x14ac:dyDescent="0.2">
      <c r="A10">
        <v>8</v>
      </c>
      <c r="B10">
        <v>4.1651944520983798E-4</v>
      </c>
      <c r="C10">
        <v>4.1248914907346699E-4</v>
      </c>
      <c r="D10" s="1">
        <v>4.03029392310643E-6</v>
      </c>
      <c r="E10">
        <v>4.0871892317096703E-3</v>
      </c>
      <c r="F10">
        <v>1.7116493076527099E-3</v>
      </c>
      <c r="G10">
        <v>2.3755398384759999E-3</v>
      </c>
    </row>
    <row r="11" spans="1:7" x14ac:dyDescent="0.2">
      <c r="A11">
        <v>9</v>
      </c>
      <c r="B11">
        <v>3.8599943693793298E-4</v>
      </c>
      <c r="C11">
        <v>3.8075784765171598E-4</v>
      </c>
      <c r="D11" s="1">
        <v>5.2415990546599599E-6</v>
      </c>
      <c r="E11">
        <v>5.52631023280248E-3</v>
      </c>
      <c r="F11">
        <v>3.1487120784676401E-3</v>
      </c>
      <c r="G11">
        <v>2.3775980911304399E-3</v>
      </c>
    </row>
    <row r="12" spans="1:7" x14ac:dyDescent="0.2">
      <c r="A12">
        <v>10</v>
      </c>
      <c r="B12" s="1">
        <v>9.4671142834992398E-5</v>
      </c>
      <c r="C12" s="1">
        <v>9.3297649599494094E-5</v>
      </c>
      <c r="D12" s="1">
        <v>1.37349350741761E-6</v>
      </c>
      <c r="E12">
        <v>4.9782543381440003E-3</v>
      </c>
      <c r="F12">
        <v>2.58620077792769E-3</v>
      </c>
      <c r="G12">
        <v>2.3920535628154998E-3</v>
      </c>
    </row>
    <row r="13" spans="1:7" x14ac:dyDescent="0.2">
      <c r="A13">
        <v>11</v>
      </c>
      <c r="B13">
        <v>1.22560561484204E-3</v>
      </c>
      <c r="C13">
        <v>1.2199110467993901E-3</v>
      </c>
      <c r="D13" s="1">
        <v>5.69456793268858E-6</v>
      </c>
      <c r="E13">
        <v>3.9838318240450398E-3</v>
      </c>
      <c r="F13">
        <v>1.63628183505065E-3</v>
      </c>
      <c r="G13">
        <v>2.3475499667594299E-3</v>
      </c>
    </row>
    <row r="14" spans="1:7" x14ac:dyDescent="0.2">
      <c r="A14">
        <v>12</v>
      </c>
      <c r="B14">
        <v>1.6958725076525801E-3</v>
      </c>
      <c r="C14">
        <v>1.68678778185285E-3</v>
      </c>
      <c r="D14" s="1">
        <v>9.0846951725680596E-6</v>
      </c>
      <c r="E14">
        <v>2.8244857387678701E-3</v>
      </c>
      <c r="F14">
        <v>4.6749195203051502E-4</v>
      </c>
      <c r="G14">
        <v>2.3569937515298999E-3</v>
      </c>
    </row>
    <row r="15" spans="1:7" x14ac:dyDescent="0.2">
      <c r="A15">
        <v>13</v>
      </c>
      <c r="B15" s="1">
        <v>8.1343788144047296E-5</v>
      </c>
      <c r="C15" s="1">
        <v>8.1125926747530503E-5</v>
      </c>
      <c r="D15" s="1">
        <v>2.1786127234879001E-7</v>
      </c>
      <c r="E15">
        <v>4.0351663649560799E-3</v>
      </c>
      <c r="F15">
        <v>1.6746629324767301E-3</v>
      </c>
      <c r="G15">
        <v>2.3605034225837001E-3</v>
      </c>
    </row>
    <row r="16" spans="1:7" x14ac:dyDescent="0.2">
      <c r="A16">
        <v>14</v>
      </c>
      <c r="B16" s="1">
        <v>5.09702587340161E-5</v>
      </c>
      <c r="C16" s="1">
        <v>5.0760004525514297E-5</v>
      </c>
      <c r="D16" s="1">
        <v>2.1025419690284E-7</v>
      </c>
      <c r="E16">
        <v>3.6802290705401598E-3</v>
      </c>
      <c r="F16">
        <v>1.3246182515557999E-3</v>
      </c>
      <c r="G16">
        <v>2.3556108032959698E-3</v>
      </c>
    </row>
    <row r="17" spans="1:7" x14ac:dyDescent="0.2">
      <c r="A17">
        <v>15</v>
      </c>
      <c r="B17" s="1">
        <v>4.9697477481383203E-5</v>
      </c>
      <c r="C17" s="1">
        <v>4.9182232491524301E-5</v>
      </c>
      <c r="D17" s="1">
        <v>5.1524500685830002E-7</v>
      </c>
      <c r="E17">
        <v>3.7046656996714E-3</v>
      </c>
      <c r="F17">
        <v>1.3101593132143301E-3</v>
      </c>
      <c r="G17">
        <v>2.3945063780159499E-3</v>
      </c>
    </row>
    <row r="18" spans="1:7" x14ac:dyDescent="0.2">
      <c r="A18">
        <v>16</v>
      </c>
      <c r="B18" s="1">
        <v>3.8193576151106098E-5</v>
      </c>
      <c r="C18" s="1">
        <v>3.8097924493540002E-5</v>
      </c>
      <c r="D18" s="1">
        <v>9.5651661620572193E-8</v>
      </c>
      <c r="E18">
        <v>5.1936168481003901E-3</v>
      </c>
      <c r="F18">
        <v>2.7506919387628799E-3</v>
      </c>
      <c r="G18">
        <v>2.4429248603391601E-3</v>
      </c>
    </row>
    <row r="19" spans="1:7" x14ac:dyDescent="0.2">
      <c r="A19">
        <v>17</v>
      </c>
      <c r="B19" s="1">
        <v>2.55207840601412E-5</v>
      </c>
      <c r="C19" s="1">
        <v>2.5459117437191802E-5</v>
      </c>
      <c r="D19" s="1">
        <v>6.1666622778053506E-8</v>
      </c>
      <c r="E19">
        <v>3.5954221456386999E-3</v>
      </c>
      <c r="F19">
        <v>1.21038982362991E-3</v>
      </c>
      <c r="G19">
        <v>2.3850323065933601E-3</v>
      </c>
    </row>
    <row r="20" spans="1:7" x14ac:dyDescent="0.2">
      <c r="A20">
        <v>18</v>
      </c>
      <c r="B20">
        <v>3.9742178299897101E-3</v>
      </c>
      <c r="C20">
        <v>3.9620668132566896E-3</v>
      </c>
      <c r="D20" s="1">
        <v>1.21510279682546E-5</v>
      </c>
      <c r="E20">
        <v>4.1719042354403796E-3</v>
      </c>
      <c r="F20">
        <v>1.65887862867722E-3</v>
      </c>
      <c r="G20">
        <v>2.5130255630120102E-3</v>
      </c>
    </row>
    <row r="21" spans="1:7" x14ac:dyDescent="0.2">
      <c r="A21">
        <v>19</v>
      </c>
      <c r="B21" s="1">
        <v>7.6332229989627197E-5</v>
      </c>
      <c r="C21" s="1">
        <v>7.5731144686612894E-5</v>
      </c>
      <c r="D21" s="1">
        <v>6.0108537979251998E-7</v>
      </c>
      <c r="E21">
        <v>5.7796931629821996E-3</v>
      </c>
      <c r="F21">
        <v>3.2629303558804699E-3</v>
      </c>
      <c r="G21">
        <v>2.5167628240519201E-3</v>
      </c>
    </row>
    <row r="22" spans="1:7" x14ac:dyDescent="0.2">
      <c r="A22">
        <v>20</v>
      </c>
      <c r="B22" s="1">
        <v>4.6927295798277501E-5</v>
      </c>
      <c r="C22" s="1">
        <v>4.5826612056571798E-5</v>
      </c>
      <c r="D22" s="1">
        <v>1.10068370091897E-6</v>
      </c>
      <c r="E22">
        <v>3.56421350738244E-3</v>
      </c>
      <c r="F22">
        <v>1.0739407278567499E-3</v>
      </c>
      <c r="G22">
        <v>2.4902727642709698E-3</v>
      </c>
    </row>
    <row r="23" spans="1:7" x14ac:dyDescent="0.2">
      <c r="A23">
        <v>21</v>
      </c>
      <c r="B23">
        <v>4.4668215077803396E-3</v>
      </c>
      <c r="C23">
        <v>4.4384064572027798E-3</v>
      </c>
      <c r="D23" s="1">
        <v>2.8415001460550602E-5</v>
      </c>
      <c r="E23">
        <v>3.0962314146385302E-3</v>
      </c>
      <c r="F23">
        <v>5.9268063545948305E-4</v>
      </c>
      <c r="G23">
        <v>2.5035507585346498E-3</v>
      </c>
    </row>
    <row r="24" spans="1:7" x14ac:dyDescent="0.2">
      <c r="A24">
        <v>22</v>
      </c>
      <c r="B24">
        <v>1.07053978749769E-4</v>
      </c>
      <c r="C24">
        <v>1.03576498564452E-4</v>
      </c>
      <c r="D24" s="1">
        <v>3.4774799962049701E-6</v>
      </c>
      <c r="E24">
        <v>3.6457217336084802E-3</v>
      </c>
      <c r="F24">
        <v>1.12045448100647E-3</v>
      </c>
      <c r="G24">
        <v>2.5252672404889299E-3</v>
      </c>
    </row>
    <row r="25" spans="1:7" x14ac:dyDescent="0.2">
      <c r="A25">
        <v>23</v>
      </c>
      <c r="B25">
        <v>1.17535722191175E-4</v>
      </c>
      <c r="C25">
        <v>1.1569118593590001E-4</v>
      </c>
      <c r="D25" s="1">
        <v>1.8445357843475701E-6</v>
      </c>
      <c r="E25">
        <v>9.0020275174311198E-3</v>
      </c>
      <c r="F25">
        <v>6.4344258380596604E-3</v>
      </c>
      <c r="G25">
        <v>2.5676016639117299E-3</v>
      </c>
    </row>
    <row r="26" spans="1:7" x14ac:dyDescent="0.2">
      <c r="A26">
        <v>24</v>
      </c>
      <c r="B26">
        <v>6.3607341810355603E-4</v>
      </c>
      <c r="C26">
        <v>6.3170825025350697E-4</v>
      </c>
      <c r="D26" s="1">
        <v>4.36516469986493E-6</v>
      </c>
      <c r="E26">
        <v>3.35344880378625E-3</v>
      </c>
      <c r="F26">
        <v>8.1161249314243798E-4</v>
      </c>
      <c r="G26">
        <v>2.5418362983373002E-3</v>
      </c>
    </row>
    <row r="27" spans="1:7" x14ac:dyDescent="0.2">
      <c r="A27">
        <v>25</v>
      </c>
      <c r="B27">
        <v>1.0908297502914799E-4</v>
      </c>
      <c r="C27">
        <v>1.08539122042865E-4</v>
      </c>
      <c r="D27" s="1">
        <v>5.4385303482069497E-7</v>
      </c>
      <c r="E27">
        <v>5.8593159257937302E-3</v>
      </c>
      <c r="F27">
        <v>3.3203898963021601E-3</v>
      </c>
      <c r="G27">
        <v>2.5389260151190301E-3</v>
      </c>
    </row>
    <row r="28" spans="1:7" x14ac:dyDescent="0.2">
      <c r="A28">
        <v>26</v>
      </c>
      <c r="B28" s="1">
        <v>2.9865022469589001E-5</v>
      </c>
      <c r="C28" s="1">
        <v>2.9681320135428501E-5</v>
      </c>
      <c r="D28" s="1">
        <v>1.83702343195965E-7</v>
      </c>
      <c r="E28">
        <v>4.0981040838215096E-3</v>
      </c>
      <c r="F28">
        <v>1.5758487379619599E-3</v>
      </c>
      <c r="G28">
        <v>2.5222553434700598E-3</v>
      </c>
    </row>
    <row r="29" spans="1:7" x14ac:dyDescent="0.2">
      <c r="A29">
        <v>27</v>
      </c>
      <c r="B29">
        <v>1.22861935999994E-3</v>
      </c>
      <c r="C29">
        <v>1.21771356300171E-3</v>
      </c>
      <c r="D29" s="1">
        <v>1.09057889661526E-5</v>
      </c>
      <c r="E29">
        <v>8.5648333044571808E-3</v>
      </c>
      <c r="F29">
        <v>6.0880326541667296E-3</v>
      </c>
      <c r="G29">
        <v>2.4768006202708199E-3</v>
      </c>
    </row>
    <row r="30" spans="1:7" x14ac:dyDescent="0.2">
      <c r="A30">
        <v>28</v>
      </c>
      <c r="B30">
        <v>1.2094989836259101E-4</v>
      </c>
      <c r="C30">
        <v>1.19639811866299E-4</v>
      </c>
      <c r="D30" s="1">
        <v>1.3100865207532001E-6</v>
      </c>
      <c r="E30">
        <v>1.43597156120243E-2</v>
      </c>
      <c r="F30">
        <v>1.1960372196093499E-2</v>
      </c>
      <c r="G30">
        <v>2.3993434438221301E-3</v>
      </c>
    </row>
    <row r="31" spans="1:7" x14ac:dyDescent="0.2">
      <c r="A31">
        <v>29</v>
      </c>
      <c r="B31">
        <v>1.85621283882758E-4</v>
      </c>
      <c r="C31">
        <v>1.8186505756816101E-4</v>
      </c>
      <c r="D31" s="1">
        <v>3.7562230808571198E-6</v>
      </c>
      <c r="E31">
        <v>4.3286317317278496E-3</v>
      </c>
      <c r="F31">
        <v>1.7809434130408601E-3</v>
      </c>
      <c r="G31">
        <v>2.5476883010342802E-3</v>
      </c>
    </row>
    <row r="32" spans="1:7" x14ac:dyDescent="0.2">
      <c r="A32">
        <v>30</v>
      </c>
      <c r="B32" s="1">
        <v>2.4846568272874299E-5</v>
      </c>
      <c r="C32" s="1">
        <v>2.3806953173967498E-5</v>
      </c>
      <c r="D32" s="1">
        <v>1.0396150946932701E-6</v>
      </c>
      <c r="E32">
        <v>4.9161075647306098E-3</v>
      </c>
      <c r="F32">
        <v>2.38841238779311E-3</v>
      </c>
      <c r="G32">
        <v>2.52769520638816E-3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 matrix</vt:lpstr>
      <vt:lpstr>Traning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Liang</dc:creator>
  <cp:lastModifiedBy>Nicholas Liang</cp:lastModifiedBy>
  <dcterms:created xsi:type="dcterms:W3CDTF">2025-11-09T03:59:39Z</dcterms:created>
  <dcterms:modified xsi:type="dcterms:W3CDTF">2025-11-09T04:10:35Z</dcterms:modified>
</cp:coreProperties>
</file>